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e39bcd792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yage summary" sheetId="1" r:id="Rd6015a97ba4846d8"/>
    <x:sheet xmlns:r="http://schemas.openxmlformats.org/officeDocument/2006/relationships" name="Audit" sheetId="2" r:id="Rb635c6963b84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9">
    <x:font>
      <x:sz val="11"/>
      <x:name val="Carlito"/>
    </x:font>
    <x:font>
      <x:b/>
      <x:sz val="15"/>
      <x:color rgb="FF1F2933"/>
      <x:name val="Arial"/>
    </x:font>
    <x:font>
      <x:i/>
      <x:sz val="10"/>
      <x:color rgb="FF5F6B70"/>
      <x:name val="Arial"/>
    </x:font>
    <x:font>
      <x:b/>
      <x:sz val="10"/>
      <x:color rgb="FFFFFFFF"/>
      <x:name val="Arial"/>
    </x:font>
    <x:font>
      <x:sz val="10"/>
      <x:color rgb="FF243238"/>
      <x:name val="Arial"/>
    </x:font>
    <x:font>
      <x:b/>
      <x:sz val="10"/>
      <x:color rgb="FF1F2933"/>
      <x:name val="Arial"/>
    </x:font>
    <x:font>
      <x:i/>
      <x:sz val="9"/>
      <x:color rgb="FF5F6B70"/>
      <x:name val="Arial"/>
    </x:font>
    <x:font>
      <x:sz val="10"/>
      <x:color rgb="FF5F6B70"/>
      <x:name val="Arial"/>
    </x:font>
    <x:font>
      <x:b/>
      <x:sz val="10"/>
      <x:color rgb="FF0B55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5563"/>
      </x:patternFill>
    </x:fill>
    <x:fill>
      <x:patternFill patternType="solid">
        <x:fgColor rgb="FFE8F1F3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e6b6390a54e0f" /><Relationship Type="http://schemas.openxmlformats.org/officeDocument/2006/relationships/theme" Target="/xl/theme/theme1.xml" Id="R2812aba88e88436a" /><Relationship Type="http://schemas.openxmlformats.org/officeDocument/2006/relationships/sharedStrings" Target="/xl/sharedStrings.xml" Id="R0699ce7e1fd84c5f" /><Relationship Type="http://schemas.openxmlformats.org/officeDocument/2006/relationships/worksheet" Target="/xl/worksheets/sheet1.xml" Id="Rd6015a97ba4846d8" /><Relationship Type="http://schemas.openxmlformats.org/officeDocument/2006/relationships/worksheet" Target="/xl/worksheets/sheet2.xml" Id="Rb635c6963b844bf7" /></Relationships>
</file>

<file path=xl/tables/table1.xml><?xml version="1.0" encoding="utf-8"?>
<x:table xmlns:x="http://schemas.openxmlformats.org/spreadsheetml/2006/main" id="1" name="VoyageSummaryTable" displayName="VoyageSummaryTable" ref="A5:J41" headerRowCount="1" totalsRowCount="0" totalsRowShown="0">
  <x:autoFilter ref="A5:J41"/>
  <x:tableColumns count="10">
    <x:tableColumn id="1" name="Vessel"/>
    <x:tableColumn id="2" name="Voyage name/number"/>
    <x:tableColumn id="3" name="Start date"/>
    <x:tableColumn id="4" name="End date"/>
    <x:tableColumn id="5" name="No. reefs visited"/>
    <x:tableColumn id="6" name="No. sites"/>
    <x:tableColumn id="7" name="Funding program"/>
    <x:tableColumn id="8" name="Sampling method"/>
    <x:tableColumn id="9" name="Total samples"/>
    <x:tableColumn id="10" name="INLA site-model match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oyageAuditTable" displayName="VoyageAuditTable" ref="A8:F44" headerRowCount="1" totalsRowCount="0" totalsRowShown="0">
  <x:autoFilter ref="A8:F44"/>
  <x:tableColumns count="6">
    <x:tableColumn id="1" name="Voyage"/>
    <x:tableColumn id="2" name="Observed reef-level designs (design; no. reefs)"/>
    <x:tableColumn id="3" name="First sample date"/>
    <x:tableColumn id="4" name="Last sample date"/>
    <x:tableColumn id="5" name="Underlying cull dives"/>
    <x:tableColumn id="6" name="INLA site-model matc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24111498b846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6c1752b5fd4fa8" /></Relationships>
</file>

<file path=xl/worksheets/sheet1.xml><?xml version="1.0" encoding="utf-8"?>
<x:worksheet xmlns:x="http://schemas.openxmlformats.org/spreadsheetml/2006/main">
  <x:sheetPr>
    <x:tabColor rgb="FF0B556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37" hidden="0" customWidth="1"/>
    <x:col min="8" max="8" width="34" hidden="0" customWidth="1"/>
    <x:col min="9" max="9" width="13" hidden="0" customWidth="1"/>
    <x:col min="10" max="10" width="17" hidden="0" customWidth="1"/>
  </x:cols>
  <x:sheetData>
    <x:row r="2">
      <x:c r="A2" s="1" t="str">
        <x:v>Voyages included in the eDNA-COTS analysis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36 voyages | 7,612 eDNA samples | 519 INLA site-model matches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2" customHeight="1">
      <x:c r="A5" s="7" t="str">
        <x:v>Vessel</x:v>
      </x:c>
      <x:c r="B5" s="7" t="str">
        <x:v>Voyage name/number</x:v>
      </x:c>
      <x:c r="C5" s="7" t="str">
        <x:v>Start date</x:v>
      </x:c>
      <x:c r="D5" s="7" t="str">
        <x:v>End date</x:v>
      </x:c>
      <x:c r="E5" s="7" t="str">
        <x:v>No. reefs visited</x:v>
      </x:c>
      <x:c r="F5" s="7" t="str">
        <x:v>No. sites</x:v>
      </x:c>
      <x:c r="G5" s="7" t="str">
        <x:v>Funding program</x:v>
      </x:c>
      <x:c r="H5" s="7" t="str">
        <x:v>Sampling method</x:v>
      </x:c>
      <x:c r="I5" s="7" t="str">
        <x:v>Total samples</x:v>
      </x:c>
      <x:c r="J5" s="7" t="str">
        <x:v>INLA site-model matches</x:v>
      </x:c>
    </x:row>
    <x:row r="6" ht="29" customHeight="1">
      <x:c r="A6" s="9" t="str">
        <x:v>RV Cape Ferguson</x:v>
      </x:c>
      <x:c r="B6" s="9" t="str">
        <x:v>AIMSeDNA19-01</x:v>
      </x:c>
      <x:c r="C6" s="12" t="n">
        <x:v>43591</x:v>
      </x:c>
      <x:c r="D6" s="12" t="n">
        <x:v>43600</x:v>
      </x:c>
      <x:c r="E6" s="13" t="n">
        <x:v>4</x:v>
      </x:c>
      <x:c r="F6" s="13" t="n">
        <x:v>7</x:v>
      </x:c>
      <x:c r="G6" s="19" t="str">
        <x:v>AIMS Appropriation</x:v>
      </x:c>
      <x:c r="H6" s="19" t="str">
        <x:v>Other/mixed design</x:v>
      </x:c>
      <x:c r="I6" s="13" t="n">
        <x:v>166</x:v>
      </x:c>
      <x:c r="J6" s="13" t="n">
        <x:v>11</x:v>
      </x:c>
    </x:row>
    <x:row r="7" ht="29" customHeight="1">
      <x:c r="A7" s="9" t="str">
        <x:v>LIRS dinghy</x:v>
      </x:c>
      <x:c r="B7" s="9" t="str">
        <x:v>AIMSeDNA20-01</x:v>
      </x:c>
      <x:c r="C7" s="12" t="n">
        <x:v>43701</x:v>
      </x:c>
      <x:c r="D7" s="12" t="n">
        <x:v>43709</x:v>
      </x:c>
      <x:c r="E7" s="13" t="n">
        <x:v>3</x:v>
      </x:c>
      <x:c r="F7" s="13" t="n">
        <x:v>5</x:v>
      </x:c>
      <x:c r="G7" s="19" t="str">
        <x:v>Ian Potter Grant</x:v>
      </x:c>
      <x:c r="H7" s="19" t="str">
        <x:v>Other/mixed design</x:v>
      </x:c>
      <x:c r="I7" s="13" t="n">
        <x:v>150</x:v>
      </x:c>
      <x:c r="J7" s="13" t="n">
        <x:v>11</x:v>
      </x:c>
    </x:row>
    <x:row r="8" ht="29" customHeight="1">
      <x:c r="A8" s="9" t="str">
        <x:v>RV Cape Ferguson</x:v>
      </x:c>
      <x:c r="B8" s="9" t="str">
        <x:v>AIMSeDNA20-02</x:v>
      </x:c>
      <x:c r="C8" s="12" t="n">
        <x:v>43963</x:v>
      </x:c>
      <x:c r="D8" s="12" t="n">
        <x:v>43970</x:v>
      </x:c>
      <x:c r="E8" s="13" t="n">
        <x:v>4</x:v>
      </x:c>
      <x:c r="F8" s="13" t="n">
        <x:v>8</x:v>
      </x:c>
      <x:c r="G8" s="19" t="str">
        <x:v>AIMS Appropriation</x:v>
      </x:c>
      <x:c r="H8" s="19" t="str">
        <x:v>Other/mixed design</x:v>
      </x:c>
      <x:c r="I8" s="13" t="n">
        <x:v>211</x:v>
      </x:c>
      <x:c r="J8" s="13" t="n">
        <x:v>17</x:v>
      </x:c>
    </x:row>
    <x:row r="9" ht="29" customHeight="1">
      <x:c r="A9" s="9" t="str">
        <x:v>Kirsty K</x:v>
      </x:c>
      <x:c r="B9" s="9" t="str">
        <x:v>AIMSeDNA21-01</x:v>
      </x:c>
      <x:c r="C9" s="12" t="n">
        <x:v>44068</x:v>
      </x:c>
      <x:c r="D9" s="12" t="n">
        <x:v>44075</x:v>
      </x:c>
      <x:c r="E9" s="13" t="n">
        <x:v>3</x:v>
      </x:c>
      <x:c r="F9" s="13" t="n">
        <x:v>5</x:v>
      </x:c>
      <x:c r="G9" s="19" t="str">
        <x:v>LIRS CoTS Research Grant 2020</x:v>
      </x:c>
      <x:c r="H9" s="19" t="str">
        <x:v>Other/mixed design</x:v>
      </x:c>
      <x:c r="I9" s="13" t="n">
        <x:v>150</x:v>
      </x:c>
      <x:c r="J9" s="13" t="n">
        <x:v>8</x:v>
      </x:c>
    </x:row>
    <x:row r="10" ht="29" customHeight="1">
      <x:c r="A10" s="9" t="str">
        <x:v>JCU Charter</x:v>
      </x:c>
      <x:c r="B10" s="9" t="str">
        <x:v>JCUeDNA21-01</x:v>
      </x:c>
      <x:c r="C10" s="12" t="n">
        <x:v>44088</x:v>
      </x:c>
      <x:c r="D10" s="12" t="n">
        <x:v>44093</x:v>
      </x:c>
      <x:c r="E10" s="13" t="n">
        <x:v>5</x:v>
      </x:c>
      <x:c r="F10" s="13" t="n">
        <x:v>8</x:v>
      </x:c>
      <x:c r="G10" s="19" t="str">
        <x:v>LIRS CoTS Research Grant 2020</x:v>
      </x:c>
      <x:c r="H10" s="19" t="str">
        <x:v>Other/mixed design</x:v>
      </x:c>
      <x:c r="I10" s="13" t="n">
        <x:v>150</x:v>
      </x:c>
      <x:c r="J10" s="13" t="n">
        <x:v>13</x:v>
      </x:c>
    </x:row>
    <x:row r="11" ht="29" customHeight="1">
      <x:c r="A11" s="9" t="str">
        <x:v>RV Cape Ferguson</x:v>
      </x:c>
      <x:c r="B11" s="9" t="str">
        <x:v>AIMSeDNA21-02</x:v>
      </x:c>
      <x:c r="C11" s="12" t="n">
        <x:v>44329</x:v>
      </x:c>
      <x:c r="D11" s="12" t="n">
        <x:v>44341</x:v>
      </x:c>
      <x:c r="E11" s="13" t="n">
        <x:v>14</x:v>
      </x:c>
      <x:c r="F11" s="13" t="n">
        <x:v>42</x:v>
      </x:c>
      <x:c r="G11" s="19" t="str">
        <x:v>CCIP-D-03; CCIP_Delineation of Initiation box</x:v>
      </x:c>
      <x:c r="H11" s="19" t="str">
        <x:v>3 sites x 12 reps</x:v>
      </x:c>
      <x:c r="I11" s="13" t="n">
        <x:v>503</x:v>
      </x:c>
      <x:c r="J11" s="13" t="n">
        <x:v>21</x:v>
      </x:c>
    </x:row>
    <x:row r="12" ht="29" customHeight="1">
      <x:c r="A12" s="9" t="str">
        <x:v>Kirsty K</x:v>
      </x:c>
      <x:c r="B12" s="9" t="str">
        <x:v>AIMSeDNA22-01</x:v>
      </x:c>
      <x:c r="C12" s="12" t="n">
        <x:v>44427</x:v>
      </x:c>
      <x:c r="D12" s="12" t="n">
        <x:v>44435</x:v>
      </x:c>
      <x:c r="E12" s="13" t="n">
        <x:v>6</x:v>
      </x:c>
      <x:c r="F12" s="13" t="n">
        <x:v>14</x:v>
      </x:c>
      <x:c r="G12" s="19" t="str">
        <x:v>CCIP-D-03</x:v>
      </x:c>
      <x:c r="H12" s="19" t="str">
        <x:v>Other/mixed design</x:v>
      </x:c>
      <x:c r="I12" s="13" t="n">
        <x:v>258</x:v>
      </x:c>
      <x:c r="J12" s="13" t="n">
        <x:v>16</x:v>
      </x:c>
    </x:row>
    <x:row r="13" ht="29" customHeight="1">
      <x:c r="A13" s="9" t="str">
        <x:v>JCU Charter</x:v>
      </x:c>
      <x:c r="B13" s="9" t="str">
        <x:v>JCUeDNA22-01</x:v>
      </x:c>
      <x:c r="C13" s="12" t="n">
        <x:v>44527</x:v>
      </x:c>
      <x:c r="D13" s="12" t="n">
        <x:v>44529</x:v>
      </x:c>
      <x:c r="E13" s="13" t="n">
        <x:v>3</x:v>
      </x:c>
      <x:c r="F13" s="13" t="n">
        <x:v>9</x:v>
      </x:c>
      <x:c r="G13" s="19" t="str">
        <x:v>CCIP_Delineation of Initiation box</x:v>
      </x:c>
      <x:c r="H13" s="19" t="str">
        <x:v>3 sites x 12 reps</x:v>
      </x:c>
      <x:c r="I13" s="13" t="n">
        <x:v>108</x:v>
      </x:c>
      <x:c r="J13" s="21" t="n">
        <x:v>0</x:v>
      </x:c>
    </x:row>
    <x:row r="14" ht="29" customHeight="1">
      <x:c r="A14" s="9" t="str">
        <x:v>RV Solander</x:v>
      </x:c>
      <x:c r="B14" s="9" t="str">
        <x:v>AIMSeDNA22-02</x:v>
      </x:c>
      <x:c r="C14" s="12" t="n">
        <x:v>44648</x:v>
      </x:c>
      <x:c r="D14" s="12" t="n">
        <x:v>44654</x:v>
      </x:c>
      <x:c r="E14" s="13" t="n">
        <x:v>3</x:v>
      </x:c>
      <x:c r="F14" s="13" t="n">
        <x:v>11</x:v>
      </x:c>
      <x:c r="G14" s="19" t="str">
        <x:v>NAMMA</x:v>
      </x:c>
      <x:c r="H14" s="19" t="str">
        <x:v>Other/mixed design</x:v>
      </x:c>
      <x:c r="I14" s="13" t="n">
        <x:v>130</x:v>
      </x:c>
      <x:c r="J14" s="21" t="n">
        <x:v>0</x:v>
      </x:c>
    </x:row>
    <x:row r="15" ht="29" customHeight="1">
      <x:c r="A15" s="9" t="str">
        <x:v>RV Cape Ferguson</x:v>
      </x:c>
      <x:c r="B15" s="9" t="str">
        <x:v>AIMSeDNA22-03</x:v>
      </x:c>
      <x:c r="C15" s="12" t="n">
        <x:v>44694</x:v>
      </x:c>
      <x:c r="D15" s="12" t="n">
        <x:v>44705</x:v>
      </x:c>
      <x:c r="E15" s="13" t="n">
        <x:v>15</x:v>
      </x:c>
      <x:c r="F15" s="13" t="n">
        <x:v>45</x:v>
      </x:c>
      <x:c r="G15" s="19" t="str">
        <x:v>CCIP-D-03</x:v>
      </x:c>
      <x:c r="H15" s="19" t="str">
        <x:v>3 sites x 12 reps</x:v>
      </x:c>
      <x:c r="I15" s="13" t="n">
        <x:v>540</x:v>
      </x:c>
      <x:c r="J15" s="13" t="n">
        <x:v>74</x:v>
      </x:c>
    </x:row>
    <x:row r="16" ht="29" customHeight="1">
      <x:c r="A16" s="9" t="str">
        <x:v>Kirsty K</x:v>
      </x:c>
      <x:c r="B16" s="9" t="str">
        <x:v>AIMSeDNA23-01</x:v>
      </x:c>
      <x:c r="C16" s="12" t="n">
        <x:v>44793</x:v>
      </x:c>
      <x:c r="D16" s="12" t="n">
        <x:v>44799</x:v>
      </x:c>
      <x:c r="E16" s="13" t="n">
        <x:v>5</x:v>
      </x:c>
      <x:c r="F16" s="13" t="n">
        <x:v>11</x:v>
      </x:c>
      <x:c r="G16" s="19" t="str">
        <x:v>CCIP-D-03</x:v>
      </x:c>
      <x:c r="H16" s="19" t="str">
        <x:v>Other/mixed design</x:v>
      </x:c>
      <x:c r="I16" s="13" t="n">
        <x:v>222</x:v>
      </x:c>
      <x:c r="J16" s="13" t="n">
        <x:v>26</x:v>
      </x:c>
    </x:row>
    <x:row r="17" ht="29" customHeight="1">
      <x:c r="A17" s="9" t="str">
        <x:v>JCU Charter</x:v>
      </x:c>
      <x:c r="B17" s="9" t="str">
        <x:v>JCUeDNA23-01</x:v>
      </x:c>
      <x:c r="C17" s="12" t="n">
        <x:v>44860</x:v>
      </x:c>
      <x:c r="D17" s="12" t="n">
        <x:v>44866</x:v>
      </x:c>
      <x:c r="E17" s="13" t="n">
        <x:v>8</x:v>
      </x:c>
      <x:c r="F17" s="13" t="n">
        <x:v>20</x:v>
      </x:c>
      <x:c r="G17" s="19" t="str">
        <x:v>CCIP-P-04</x:v>
      </x:c>
      <x:c r="H17" s="19" t="str">
        <x:v>3 sites x 12 reps</x:v>
      </x:c>
      <x:c r="I17" s="13" t="n">
        <x:v>252</x:v>
      </x:c>
      <x:c r="J17" s="21" t="n">
        <x:v>0</x:v>
      </x:c>
    </x:row>
    <x:row r="18" ht="29" customHeight="1">
      <x:c r="A18" s="9" t="str">
        <x:v>RV Solander</x:v>
      </x:c>
      <x:c r="B18" s="9" t="str">
        <x:v>AIMSeDNA23-02</x:v>
      </x:c>
      <x:c r="C18" s="12" t="n">
        <x:v>44912</x:v>
      </x:c>
      <x:c r="D18" s="12" t="n">
        <x:v>44925</x:v>
      </x:c>
      <x:c r="E18" s="13" t="n">
        <x:v>1</x:v>
      </x:c>
      <x:c r="F18" s="13" t="n">
        <x:v>3</x:v>
      </x:c>
      <x:c r="G18" s="19" t="str">
        <x:v>CCIP-D-03</x:v>
      </x:c>
      <x:c r="H18" s="19" t="str">
        <x:v>3 sites x 12 reps</x:v>
      </x:c>
      <x:c r="I18" s="13" t="n">
        <x:v>36</x:v>
      </x:c>
      <x:c r="J18" s="13" t="n">
        <x:v>16</x:v>
      </x:c>
    </x:row>
    <x:row r="19" ht="29" customHeight="1">
      <x:c r="A19" s="9" t="str">
        <x:v>Reef Ranger</x:v>
      </x:c>
      <x:c r="B19" s="9" t="str">
        <x:v>FMPCR 2023-03</x:v>
      </x:c>
      <x:c r="C19" s="12" t="n">
        <x:v>45009</x:v>
      </x:c>
      <x:c r="D19" s="12" t="n">
        <x:v>45019</x:v>
      </x:c>
      <x:c r="E19" s="13" t="n">
        <x:v>7</x:v>
      </x:c>
      <x:c r="F19" s="13" t="n">
        <x:v>16</x:v>
      </x:c>
      <x:c r="G19" s="19" t="str">
        <x:v>CCIP-D-02</x:v>
      </x:c>
      <x:c r="H19" s="19" t="str">
        <x:v>Other/mixed design</x:v>
      </x:c>
      <x:c r="I19" s="13" t="n">
        <x:v>192</x:v>
      </x:c>
      <x:c r="J19" s="13" t="n">
        <x:v>27</x:v>
      </x:c>
    </x:row>
    <x:row r="20" ht="29" customHeight="1">
      <x:c r="A20" s="9" t="str">
        <x:v>RV Cape Ferguson</x:v>
      </x:c>
      <x:c r="B20" s="9" t="str">
        <x:v>AIMSeDNA23-03</x:v>
      </x:c>
      <x:c r="C20" s="12" t="n">
        <x:v>45104</x:v>
      </x:c>
      <x:c r="D20" s="12" t="n">
        <x:v>45117</x:v>
      </x:c>
      <x:c r="E20" s="13" t="n">
        <x:v>21</x:v>
      </x:c>
      <x:c r="F20" s="13" t="n">
        <x:v>63</x:v>
      </x:c>
      <x:c r="G20" s="19" t="str">
        <x:v>CCIP-D-03</x:v>
      </x:c>
      <x:c r="H20" s="19" t="str">
        <x:v>3 sites x 12 reps</x:v>
      </x:c>
      <x:c r="I20" s="13" t="n">
        <x:v>756</x:v>
      </x:c>
      <x:c r="J20" s="13" t="n">
        <x:v>18</x:v>
      </x:c>
    </x:row>
    <x:row r="21" ht="29" customHeight="1">
      <x:c r="A21" s="9" t="str">
        <x:v>Kirsty K</x:v>
      </x:c>
      <x:c r="B21" s="9" t="str">
        <x:v>AIMSeDNA24-01</x:v>
      </x:c>
      <x:c r="C21" s="12" t="n">
        <x:v>45183</x:v>
      </x:c>
      <x:c r="D21" s="12" t="n">
        <x:v>45189</x:v>
      </x:c>
      <x:c r="E21" s="13" t="n">
        <x:v>5</x:v>
      </x:c>
      <x:c r="F21" s="13" t="n">
        <x:v>11</x:v>
      </x:c>
      <x:c r="G21" s="19" t="str">
        <x:v>CCIP-D-03</x:v>
      </x:c>
      <x:c r="H21" s="19" t="str">
        <x:v>Other/mixed design</x:v>
      </x:c>
      <x:c r="I21" s="13" t="n">
        <x:v>222</x:v>
      </x:c>
      <x:c r="J21" s="13" t="n">
        <x:v>31</x:v>
      </x:c>
    </x:row>
    <x:row r="22" ht="29" customHeight="1">
      <x:c r="A22" s="9" t="str">
        <x:v>Reef Resilience</x:v>
      </x:c>
      <x:c r="B22" s="9" t="str">
        <x:v>FMPCRS 2023-05</x:v>
      </x:c>
      <x:c r="C22" s="12" t="n">
        <x:v>45232</x:v>
      </x:c>
      <x:c r="D22" s="12" t="n">
        <x:v>45239</x:v>
      </x:c>
      <x:c r="E22" s="13" t="n">
        <x:v>8</x:v>
      </x:c>
      <x:c r="F22" s="13" t="n">
        <x:v>24</x:v>
      </x:c>
      <x:c r="G22" s="19" t="str">
        <x:v>CCIP-D-03</x:v>
      </x:c>
      <x:c r="H22" s="19" t="str">
        <x:v>3 sites x 12 reps</x:v>
      </x:c>
      <x:c r="I22" s="13" t="n">
        <x:v>287</x:v>
      </x:c>
      <x:c r="J22" s="21" t="n">
        <x:v>0</x:v>
      </x:c>
    </x:row>
    <x:row r="23" ht="29" customHeight="1">
      <x:c r="A23" s="9" t="str">
        <x:v>RV Solander</x:v>
      </x:c>
      <x:c r="B23" s="9" t="str">
        <x:v>AIMSeDNA24-02</x:v>
      </x:c>
      <x:c r="C23" s="12" t="n">
        <x:v>45283</x:v>
      </x:c>
      <x:c r="D23" s="12" t="n">
        <x:v>45296</x:v>
      </x:c>
      <x:c r="E23" s="13" t="n">
        <x:v>5</x:v>
      </x:c>
      <x:c r="F23" s="13" t="n">
        <x:v>15</x:v>
      </x:c>
      <x:c r="G23" s="19" t="str">
        <x:v>CCIP-D-03; CCIP-P-04</x:v>
      </x:c>
      <x:c r="H23" s="19" t="str">
        <x:v>3 sites x 12 reps</x:v>
      </x:c>
      <x:c r="I23" s="13" t="n">
        <x:v>180</x:v>
      </x:c>
      <x:c r="J23" s="13" t="n">
        <x:v>14</x:v>
      </x:c>
    </x:row>
    <x:row r="24" ht="29" customHeight="1">
      <x:c r="A24" s="9" t="str">
        <x:v>RV Apollo</x:v>
      </x:c>
      <x:c r="B24" s="9" t="str">
        <x:v>AIMSeDNA25-01</x:v>
      </x:c>
      <x:c r="C24" s="12" t="n">
        <x:v>45523</x:v>
      </x:c>
      <x:c r="D24" s="12" t="n">
        <x:v>45523</x:v>
      </x:c>
      <x:c r="E24" s="13" t="n">
        <x:v>1</x:v>
      </x:c>
      <x:c r="F24" s="13" t="n">
        <x:v>3</x:v>
      </x:c>
      <x:c r="G24" s="19" t="str">
        <x:v>AIMS Appropriation</x:v>
      </x:c>
      <x:c r="H24" s="19" t="str">
        <x:v>3 sites x 12 reps</x:v>
      </x:c>
      <x:c r="I24" s="13" t="n">
        <x:v>36</x:v>
      </x:c>
      <x:c r="J24" s="13" t="n">
        <x:v>17</x:v>
      </x:c>
    </x:row>
    <x:row r="25" ht="29" customHeight="1">
      <x:c r="A25" s="9" t="str">
        <x:v>Kirsty K</x:v>
      </x:c>
      <x:c r="B25" s="9" t="str">
        <x:v>AIMSeDNA25-02</x:v>
      </x:c>
      <x:c r="C25" s="12" t="n">
        <x:v>45548</x:v>
      </x:c>
      <x:c r="D25" s="12" t="n">
        <x:v>45554</x:v>
      </x:c>
      <x:c r="E25" s="13" t="n">
        <x:v>3</x:v>
      </x:c>
      <x:c r="F25" s="13" t="n">
        <x:v>5</x:v>
      </x:c>
      <x:c r="G25" s="19" t="str">
        <x:v>AIMS Appropriation</x:v>
      </x:c>
      <x:c r="H25" s="19" t="str">
        <x:v>Other/mixed design</x:v>
      </x:c>
      <x:c r="I25" s="13" t="n">
        <x:v>100</x:v>
      </x:c>
      <x:c r="J25" s="13" t="n">
        <x:v>10</x:v>
      </x:c>
    </x:row>
    <x:row r="26" ht="29" customHeight="1">
      <x:c r="A26" s="9" t="str">
        <x:v>RV Solander</x:v>
      </x:c>
      <x:c r="B26" s="9" t="str">
        <x:v>AIMSeDNA25-03</x:v>
      </x:c>
      <x:c r="C26" s="12" t="n">
        <x:v>45636</x:v>
      </x:c>
      <x:c r="D26" s="12" t="n">
        <x:v>45650</x:v>
      </x:c>
      <x:c r="E26" s="13" t="n">
        <x:v>4</x:v>
      </x:c>
      <x:c r="F26" s="13" t="n">
        <x:v>15</x:v>
      </x:c>
      <x:c r="G26" s="19" t="str">
        <x:v>AIMS Appropriation</x:v>
      </x:c>
      <x:c r="H26" s="19" t="str">
        <x:v>Other/mixed design</x:v>
      </x:c>
      <x:c r="I26" s="13" t="n">
        <x:v>108</x:v>
      </x:c>
      <x:c r="J26" s="13" t="n">
        <x:v>5</x:v>
      </x:c>
    </x:row>
    <x:row r="27" ht="29" customHeight="1">
      <x:c r="A27" s="9" t="str">
        <x:v>Reef Resilience</x:v>
      </x:c>
      <x:c r="B27" s="9" t="str">
        <x:v>FMPCRS 2025-01</x:v>
      </x:c>
      <x:c r="C27" s="12" t="n">
        <x:v>45664</x:v>
      </x:c>
      <x:c r="D27" s="12" t="n">
        <x:v>45673</x:v>
      </x:c>
      <x:c r="E27" s="13" t="n">
        <x:v>9</x:v>
      </x:c>
      <x:c r="F27" s="13" t="n">
        <x:v>36</x:v>
      </x:c>
      <x:c r="G27" s="19" t="str">
        <x:v>CCIP-RT-02</x:v>
      </x:c>
      <x:c r="H27" s="19" t="str">
        <x:v>4 sites x 6 reps</x:v>
      </x:c>
      <x:c r="I27" s="13" t="n">
        <x:v>216</x:v>
      </x:c>
      <x:c r="J27" s="21" t="n">
        <x:v>0</x:v>
      </x:c>
    </x:row>
    <x:row r="28" ht="29" customHeight="1">
      <x:c r="A28" s="9" t="str">
        <x:v>Reef Resilience</x:v>
      </x:c>
      <x:c r="B28" s="9" t="str">
        <x:v>FMPCRS 2025-02</x:v>
      </x:c>
      <x:c r="C28" s="12" t="n">
        <x:v>45693</x:v>
      </x:c>
      <x:c r="D28" s="12" t="n">
        <x:v>45702</x:v>
      </x:c>
      <x:c r="E28" s="13" t="n">
        <x:v>9</x:v>
      </x:c>
      <x:c r="F28" s="13" t="n">
        <x:v>36</x:v>
      </x:c>
      <x:c r="G28" s="19" t="str">
        <x:v>CCIP-RT-02</x:v>
      </x:c>
      <x:c r="H28" s="19" t="str">
        <x:v>4 sites x 6 reps</x:v>
      </x:c>
      <x:c r="I28" s="13" t="n">
        <x:v>216</x:v>
      </x:c>
      <x:c r="J28" s="13" t="n">
        <x:v>7</x:v>
      </x:c>
    </x:row>
    <x:row r="29" ht="29" customHeight="1">
      <x:c r="A29" s="9" t="str">
        <x:v>Odyssey</x:v>
      </x:c>
      <x:c r="B29" s="9" t="str">
        <x:v>136</x:v>
      </x:c>
      <x:c r="C29" s="12" t="n">
        <x:v>45747</x:v>
      </x:c>
      <x:c r="D29" s="12" t="n">
        <x:v>45760</x:v>
      </x:c>
      <x:c r="E29" s="13" t="n">
        <x:v>2</x:v>
      </x:c>
      <x:c r="F29" s="13" t="n">
        <x:v>8</x:v>
      </x:c>
      <x:c r="G29" s="19" t="str">
        <x:v>CCIP-RT-02</x:v>
      </x:c>
      <x:c r="H29" s="19" t="str">
        <x:v>4 sites x 6 reps</x:v>
      </x:c>
      <x:c r="I29" s="13" t="n">
        <x:v>48</x:v>
      </x:c>
      <x:c r="J29" s="13" t="n">
        <x:v>10</x:v>
      </x:c>
    </x:row>
    <x:row r="30" ht="29" customHeight="1">
      <x:c r="A30" s="9" t="str">
        <x:v>Infamis</x:v>
      </x:c>
      <x:c r="B30" s="9" t="str">
        <x:v>41</x:v>
      </x:c>
      <x:c r="C30" s="12" t="n">
        <x:v>45751</x:v>
      </x:c>
      <x:c r="D30" s="12" t="n">
        <x:v>45763</x:v>
      </x:c>
      <x:c r="E30" s="13" t="n">
        <x:v>2</x:v>
      </x:c>
      <x:c r="F30" s="13" t="n">
        <x:v>8</x:v>
      </x:c>
      <x:c r="G30" s="19" t="str">
        <x:v>CCIP-RT-02</x:v>
      </x:c>
      <x:c r="H30" s="19" t="str">
        <x:v>4 sites x 6 reps</x:v>
      </x:c>
      <x:c r="I30" s="13" t="n">
        <x:v>48</x:v>
      </x:c>
      <x:c r="J30" s="13" t="n">
        <x:v>21</x:v>
      </x:c>
    </x:row>
    <x:row r="31" ht="29" customHeight="1">
      <x:c r="A31" s="9" t="str">
        <x:v>RV Solander</x:v>
      </x:c>
      <x:c r="B31" s="9" t="str">
        <x:v>AIMSeDNA25-04</x:v>
      </x:c>
      <x:c r="C31" s="12" t="n">
        <x:v>45804</x:v>
      </x:c>
      <x:c r="D31" s="12" t="n">
        <x:v>45817</x:v>
      </x:c>
      <x:c r="E31" s="13" t="n">
        <x:v>15</x:v>
      </x:c>
      <x:c r="F31" s="13" t="n">
        <x:v>48</x:v>
      </x:c>
      <x:c r="G31" s="19" t="str">
        <x:v>AIMS Appropriation</x:v>
      </x:c>
      <x:c r="H31" s="19" t="str">
        <x:v>Other/mixed design</x:v>
      </x:c>
      <x:c r="I31" s="13" t="n">
        <x:v>558</x:v>
      </x:c>
      <x:c r="J31" s="13" t="n">
        <x:v>9</x:v>
      </x:c>
    </x:row>
    <x:row r="32" ht="29" customHeight="1">
      <x:c r="A32" s="9" t="str">
        <x:v>Odyssey</x:v>
      </x:c>
      <x:c r="B32" s="9" t="str">
        <x:v>142</x:v>
      </x:c>
      <x:c r="C32" s="12" t="n">
        <x:v>45869</x:v>
      </x:c>
      <x:c r="D32" s="12" t="n">
        <x:v>45880</x:v>
      </x:c>
      <x:c r="E32" s="13" t="n">
        <x:v>2</x:v>
      </x:c>
      <x:c r="F32" s="13" t="n">
        <x:v>8</x:v>
      </x:c>
      <x:c r="G32" s="19" t="str">
        <x:v>CCIP-RT-02</x:v>
      </x:c>
      <x:c r="H32" s="19" t="str">
        <x:v>4 sites x 6 reps</x:v>
      </x:c>
      <x:c r="I32" s="13" t="n">
        <x:v>48</x:v>
      </x:c>
      <x:c r="J32" s="13" t="n">
        <x:v>14</x:v>
      </x:c>
    </x:row>
    <x:row r="33" ht="29" customHeight="1">
      <x:c r="A33" s="9" t="str">
        <x:v>RV Cape Ferguson</x:v>
      </x:c>
      <x:c r="B33" s="9" t="str">
        <x:v>AIMSeDNA26-01</x:v>
      </x:c>
      <x:c r="C33" s="12" t="n">
        <x:v>45870</x:v>
      </x:c>
      <x:c r="D33" s="12" t="n">
        <x:v>45872</x:v>
      </x:c>
      <x:c r="E33" s="13" t="n">
        <x:v>6</x:v>
      </x:c>
      <x:c r="F33" s="13" t="n">
        <x:v>21</x:v>
      </x:c>
      <x:c r="G33" s="19" t="str">
        <x:v>AIMS Appropriation</x:v>
      </x:c>
      <x:c r="H33" s="19" t="str">
        <x:v>Other/mixed design</x:v>
      </x:c>
      <x:c r="I33" s="13" t="n">
        <x:v>234</x:v>
      </x:c>
      <x:c r="J33" s="13" t="n">
        <x:v>31</x:v>
      </x:c>
    </x:row>
    <x:row r="34" ht="29" customHeight="1">
      <x:c r="A34" s="9" t="str">
        <x:v>Infamis</x:v>
      </x:c>
      <x:c r="B34" s="9" t="str">
        <x:v>45</x:v>
      </x:c>
      <x:c r="C34" s="12" t="n">
        <x:v>45882</x:v>
      </x:c>
      <x:c r="D34" s="12" t="n">
        <x:v>45894</x:v>
      </x:c>
      <x:c r="E34" s="13" t="n">
        <x:v>3</x:v>
      </x:c>
      <x:c r="F34" s="13" t="n">
        <x:v>12</x:v>
      </x:c>
      <x:c r="G34" s="19" t="str">
        <x:v>CCIP-RT-02</x:v>
      </x:c>
      <x:c r="H34" s="19" t="str">
        <x:v>4 sites x 6 reps</x:v>
      </x:c>
      <x:c r="I34" s="13" t="n">
        <x:v>72</x:v>
      </x:c>
      <x:c r="J34" s="13" t="n">
        <x:v>25</x:v>
      </x:c>
    </x:row>
    <x:row r="35" ht="29" customHeight="1">
      <x:c r="A35" s="9" t="str">
        <x:v>Kirsty K</x:v>
      </x:c>
      <x:c r="B35" s="9" t="str">
        <x:v>AIMSeDNA26-02</x:v>
      </x:c>
      <x:c r="C35" s="12" t="n">
        <x:v>45922</x:v>
      </x:c>
      <x:c r="D35" s="12" t="n">
        <x:v>45928</x:v>
      </x:c>
      <x:c r="E35" s="13" t="n">
        <x:v>5</x:v>
      </x:c>
      <x:c r="F35" s="13" t="n">
        <x:v>13</x:v>
      </x:c>
      <x:c r="G35" s="19" t="str">
        <x:v>AIMS Appropriation</x:v>
      </x:c>
      <x:c r="H35" s="19" t="str">
        <x:v>Other/mixed design</x:v>
      </x:c>
      <x:c r="I35" s="13" t="n">
        <x:v>184</x:v>
      </x:c>
      <x:c r="J35" s="13" t="n">
        <x:v>18</x:v>
      </x:c>
    </x:row>
    <x:row r="36" ht="29" customHeight="1">
      <x:c r="A36" s="9" t="str">
        <x:v>Reef Resilience</x:v>
      </x:c>
      <x:c r="B36" s="9" t="str">
        <x:v>FMPCRS 2025-05</x:v>
      </x:c>
      <x:c r="C36" s="12" t="n">
        <x:v>45958</x:v>
      </x:c>
      <x:c r="D36" s="12" t="n">
        <x:v>45968</x:v>
      </x:c>
      <x:c r="E36" s="13" t="n">
        <x:v>10</x:v>
      </x:c>
      <x:c r="F36" s="13" t="n">
        <x:v>40</x:v>
      </x:c>
      <x:c r="G36" s="19" t="str">
        <x:v>CCIP-BR-02</x:v>
      </x:c>
      <x:c r="H36" s="19" t="str">
        <x:v>4 sites x 6 reps</x:v>
      </x:c>
      <x:c r="I36" s="13" t="n">
        <x:v>240</x:v>
      </x:c>
      <x:c r="J36" s="13" t="n">
        <x:v>8</x:v>
      </x:c>
    </x:row>
    <x:row r="37" ht="29" customHeight="1">
      <x:c r="A37" s="9" t="str">
        <x:v>RV Solander</x:v>
      </x:c>
      <x:c r="B37" s="9" t="str">
        <x:v>AIMSeDNA26-03</x:v>
      </x:c>
      <x:c r="C37" s="12" t="n">
        <x:v>46020</x:v>
      </x:c>
      <x:c r="D37" s="12" t="n">
        <x:v>46020</x:v>
      </x:c>
      <x:c r="E37" s="13" t="n">
        <x:v>1</x:v>
      </x:c>
      <x:c r="F37" s="13" t="n">
        <x:v>3</x:v>
      </x:c>
      <x:c r="G37" s="19" t="str">
        <x:v>AIMS Appropriation</x:v>
      </x:c>
      <x:c r="H37" s="19" t="str">
        <x:v>3 sites x 12 reps</x:v>
      </x:c>
      <x:c r="I37" s="13" t="n">
        <x:v>36</x:v>
      </x:c>
      <x:c r="J37" s="21" t="n">
        <x:v>0</x:v>
      </x:c>
    </x:row>
    <x:row r="38" ht="29" customHeight="1">
      <x:c r="A38" s="9" t="str">
        <x:v>Reef Resilience</x:v>
      </x:c>
      <x:c r="B38" s="9" t="str">
        <x:v>FMPCRS 2026-01</x:v>
      </x:c>
      <x:c r="C38" s="12" t="n">
        <x:v>46028</x:v>
      </x:c>
      <x:c r="D38" s="12" t="n">
        <x:v>46037</x:v>
      </x:c>
      <x:c r="E38" s="13" t="n">
        <x:v>10</x:v>
      </x:c>
      <x:c r="F38" s="13" t="n">
        <x:v>40</x:v>
      </x:c>
      <x:c r="G38" s="19" t="str">
        <x:v>CCIP-BR-02</x:v>
      </x:c>
      <x:c r="H38" s="19" t="str">
        <x:v>4 sites x 6 reps</x:v>
      </x:c>
      <x:c r="I38" s="13" t="n">
        <x:v>240</x:v>
      </x:c>
      <x:c r="J38" s="21" t="n">
        <x:v>0</x:v>
      </x:c>
    </x:row>
    <x:row r="39" ht="29" customHeight="1">
      <x:c r="A39" s="9" t="str">
        <x:v>Reef Ranger</x:v>
      </x:c>
      <x:c r="B39" s="9" t="str">
        <x:v>FMPCRS 2026-02</x:v>
      </x:c>
      <x:c r="C39" s="12" t="n">
        <x:v>46045</x:v>
      </x:c>
      <x:c r="D39" s="12" t="n">
        <x:v>46056</x:v>
      </x:c>
      <x:c r="E39" s="13" t="n">
        <x:v>10</x:v>
      </x:c>
      <x:c r="F39" s="13" t="n">
        <x:v>40</x:v>
      </x:c>
      <x:c r="G39" s="19" t="str">
        <x:v>CCIP-BR-02</x:v>
      </x:c>
      <x:c r="H39" s="19" t="str">
        <x:v>4 sites x 6 reps</x:v>
      </x:c>
      <x:c r="I39" s="13" t="n">
        <x:v>238</x:v>
      </x:c>
      <x:c r="J39" s="13" t="n">
        <x:v>20</x:v>
      </x:c>
    </x:row>
    <x:row r="40" ht="29" customHeight="1">
      <x:c r="A40" s="9" t="str">
        <x:v>Reef Ranger</x:v>
      </x:c>
      <x:c r="B40" s="9" t="str">
        <x:v>FMPCRS 2026-03</x:v>
      </x:c>
      <x:c r="C40" s="12" t="n">
        <x:v>46087</x:v>
      </x:c>
      <x:c r="D40" s="12" t="n">
        <x:v>46097</x:v>
      </x:c>
      <x:c r="E40" s="13" t="n">
        <x:v>10</x:v>
      </x:c>
      <x:c r="F40" s="13" t="n">
        <x:v>40</x:v>
      </x:c>
      <x:c r="G40" s="19" t="str">
        <x:v>CCIP-BR-02</x:v>
      </x:c>
      <x:c r="H40" s="19" t="str">
        <x:v>4 sites x 6 reps</x:v>
      </x:c>
      <x:c r="I40" s="13" t="n">
        <x:v>238</x:v>
      </x:c>
      <x:c r="J40" s="21" t="n">
        <x:v>0</x:v>
      </x:c>
    </x:row>
    <x:row r="41" ht="29" customHeight="1">
      <x:c r="A41" s="9" t="str">
        <x:v>Reef Resilience</x:v>
      </x:c>
      <x:c r="B41" s="9" t="str">
        <x:v>FMPRHIS 2026-07</x:v>
      </x:c>
      <x:c r="C41" s="12" t="n">
        <x:v>46114</x:v>
      </x:c>
      <x:c r="D41" s="12" t="n">
        <x:v>46121</x:v>
      </x:c>
      <x:c r="E41" s="13" t="n">
        <x:v>10</x:v>
      </x:c>
      <x:c r="F41" s="13" t="n">
        <x:v>40</x:v>
      </x:c>
      <x:c r="G41" s="19" t="str">
        <x:v>CCIP-BR-02</x:v>
      </x:c>
      <x:c r="H41" s="19" t="str">
        <x:v>4 sites x 6 reps</x:v>
      </x:c>
      <x:c r="I41" s="13" t="n">
        <x:v>239</x:v>
      </x:c>
      <x:c r="J41" s="13" t="n">
        <x:v>21</x:v>
      </x:c>
    </x:row>
    <x:row r="42">
      <x:c r="A42" s="16" t="str">
        <x:v>Voyage totals</x:v>
      </x:c>
      <x:c r="B42" s="16"/>
      <x:c r="C42" s="16"/>
      <x:c r="D42" s="16"/>
      <x:c r="E42" s="17" t="n">
        <x:f>SUM(E6:E41)</x:f>
        <x:v>232</x:v>
      </x:c>
      <x:c r="F42" s="17" t="n">
        <x:f>SUM(F6:F41)</x:f>
        <x:v>733</x:v>
      </x:c>
      <x:c r="G42" s="16"/>
      <x:c r="H42" s="16"/>
      <x:c r="I42" s="17" t="n">
        <x:f>SUM(I6:I41)</x:f>
        <x:v>7612</x:v>
      </x:c>
      <x:c r="J42" s="17" t="n">
        <x:f>SUM(J6:J41)</x:f>
        <x:v>519</x:v>
      </x:c>
    </x:row>
    <x:row r="44">
      <x:c r="A44" s="18" t="str">
        <x:v>Note: reef and site totals are summed voyage-level visits, not unique GBR-wide locations.</x:v>
      </x:c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 t="str">
        <x:v>Source: data/eDNA data_ALL_20260528.xlsx (eDNA_data_ALL and eDNAVoyages sheets).</x:v>
      </x:c>
      <x:c r="B45" s="18"/>
      <x:c r="C45" s="18"/>
      <x:c r="D45" s="18"/>
      <x:c r="E45" s="18"/>
      <x:c r="F45" s="18"/>
      <x:c r="G45" s="18"/>
      <x:c r="H45" s="18"/>
      <x:c r="I45" s="18"/>
      <x:c r="J45" s="18"/>
    </x:row>
  </x:sheetData>
  <x:mergeCells>
    <x:mergeCell ref="A3:J3"/>
    <x:mergeCell ref="A44:J44"/>
    <x:mergeCell ref="A45:J45"/>
  </x:mergeCells>
  <x:pageMargins left="0.7" right="0.7" top="0.75" bottom="0.75" header="0.3" footer="0.3"/>
  <x:tableParts count="1">
    <x:tablePart xmlns:r="http://schemas.openxmlformats.org/officeDocument/2006/relationships" r:id="R9424111498b84688"/>
  </x:tableParts>
</x:worksheet>
</file>

<file path=xl/worksheets/sheet2.xml><?xml version="1.0" encoding="utf-8"?>
<x:worksheet xmlns:x="http://schemas.openxmlformats.org/spreadsheetml/2006/main">
  <x:sheetPr>
    <x:tabColor rgb="FF829399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58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</x:cols>
  <x:sheetData>
    <x:row r="2">
      <x:c r="A2" s="1" t="str">
        <x:v>Voyage table audit and definitions</x:v>
      </x:c>
      <x:c r="B2" s="1"/>
      <x:c r="C2" s="1"/>
      <x:c r="D2" s="1"/>
      <x:c r="E2" s="1"/>
      <x:c r="F2" s="1"/>
    </x:row>
    <x:row r="3" ht="3" customHeight="1">
      <x:c r="A3" s="3"/>
      <x:c r="B3" s="3"/>
      <x:c r="C3" s="3"/>
      <x:c r="D3" s="3"/>
      <x:c r="E3" s="3"/>
      <x:c r="F3" s="3"/>
    </x:row>
    <x:row r="4">
      <x:c r="A4" s="2" t="str">
        <x:v>Sampling design is classified from the observed number of sites and sample rows per site within each reef.</x:v>
      </x:c>
      <x:c r="B4" s="2"/>
      <x:c r="C4" s="2"/>
      <x:c r="D4" s="2"/>
      <x:c r="E4" s="2"/>
      <x:c r="F4" s="2"/>
    </x:row>
    <x:row r="5">
      <x:c r="A5" s="2" t="str">
        <x:v>INLA site-model matches use one unique eDNA campaign per first subsequent cull-site visit, within 2,000 m and 183 days.</x:v>
      </x:c>
      <x:c r="B5" s="2"/>
      <x:c r="C5" s="2"/>
      <x:c r="D5" s="2"/>
      <x:c r="E5" s="2"/>
      <x:c r="F5" s="2"/>
    </x:row>
    <x:row r="6">
      <x:c r="A6" s="2" t="str">
        <x:v>Each of the 519 site visits appears once. The audit also reports the 1,064 underlying cull dives aggregated into those responses.</x:v>
      </x:c>
      <x:c r="B6" s="2"/>
      <x:c r="C6" s="2"/>
      <x:c r="D6" s="2"/>
      <x:c r="E6" s="2"/>
      <x:c r="F6" s="2"/>
    </x:row>
    <x:row r="8" ht="32" customHeight="1">
      <x:c r="A8" s="7" t="str">
        <x:v>Voyage</x:v>
      </x:c>
      <x:c r="B8" s="7" t="str">
        <x:v>Observed reef-level designs (design; no. reefs)</x:v>
      </x:c>
      <x:c r="C8" s="7" t="str">
        <x:v>First sample date</x:v>
      </x:c>
      <x:c r="D8" s="7" t="str">
        <x:v>Last sample date</x:v>
      </x:c>
      <x:c r="E8" s="7" t="str">
        <x:v>Underlying cull dives</x:v>
      </x:c>
      <x:c r="F8" s="7" t="str">
        <x:v>INLA site-model matches</x:v>
      </x:c>
    </x:row>
    <x:row r="9" ht="24" customHeight="1">
      <x:c r="A9" s="9" t="str">
        <x:v>AIMSeDNA19-01</x:v>
      </x:c>
      <x:c r="B9" s="9" t="str">
        <x:v>1x9 (1); 2x30 (1); 2x40 [39-40] (1); 2x9 [8-10] (1)</x:v>
      </x:c>
      <x:c r="C9" s="12" t="n">
        <x:v>43591</x:v>
      </x:c>
      <x:c r="D9" s="12" t="n">
        <x:v>43598</x:v>
      </x:c>
      <x:c r="E9" s="13" t="n">
        <x:v>29</x:v>
      </x:c>
      <x:c r="F9" s="13" t="n">
        <x:v>11</x:v>
      </x:c>
    </x:row>
    <x:row r="10" ht="24" customHeight="1">
      <x:c r="A10" s="9" t="str">
        <x:v>AIMSeDNA20-01</x:v>
      </x:c>
      <x:c r="B10" s="9" t="str">
        <x:v>1x30 (2); 3x30 (1)</x:v>
      </x:c>
      <x:c r="C10" s="12" t="n">
        <x:v>43703</x:v>
      </x:c>
      <x:c r="D10" s="12" t="n">
        <x:v>43707</x:v>
      </x:c>
      <x:c r="E10" s="13" t="n">
        <x:v>16</x:v>
      </x:c>
      <x:c r="F10" s="13" t="n">
        <x:v>11</x:v>
      </x:c>
    </x:row>
    <x:row r="11" ht="24" customHeight="1">
      <x:c r="A11" s="9" t="str">
        <x:v>AIMSeDNA20-02</x:v>
      </x:c>
      <x:c r="B11" s="9" t="str">
        <x:v>2x15 (1); 2x30 (1); 2x30 [29-31] (1); 2x30 [30-31] (1)</x:v>
      </x:c>
      <x:c r="C11" s="12" t="n">
        <x:v>43963</x:v>
      </x:c>
      <x:c r="D11" s="12" t="n">
        <x:v>43969</x:v>
      </x:c>
      <x:c r="E11" s="13" t="n">
        <x:v>52</x:v>
      </x:c>
      <x:c r="F11" s="13" t="n">
        <x:v>17</x:v>
      </x:c>
    </x:row>
    <x:row r="12" ht="24" customHeight="1">
      <x:c r="A12" s="9" t="str">
        <x:v>AIMSeDNA21-01</x:v>
      </x:c>
      <x:c r="B12" s="9" t="str">
        <x:v>1x30 (2); 3x30 [29-31] (1)</x:v>
      </x:c>
      <x:c r="C12" s="12" t="n">
        <x:v>44069</x:v>
      </x:c>
      <x:c r="D12" s="12" t="n">
        <x:v>44073</x:v>
      </x:c>
      <x:c r="E12" s="13" t="n">
        <x:v>11</x:v>
      </x:c>
      <x:c r="F12" s="13" t="n">
        <x:v>8</x:v>
      </x:c>
    </x:row>
    <x:row r="13" ht="24" customHeight="1">
      <x:c r="A13" s="9" t="str">
        <x:v>JCUeDNA21-01</x:v>
      </x:c>
      <x:c r="B13" s="9" t="str">
        <x:v>2x15 (5)</x:v>
      </x:c>
      <x:c r="C13" s="12" t="n">
        <x:v>44088</x:v>
      </x:c>
      <x:c r="D13" s="12" t="n">
        <x:v>44093</x:v>
      </x:c>
      <x:c r="E13" s="13" t="n">
        <x:v>26</x:v>
      </x:c>
      <x:c r="F13" s="13" t="n">
        <x:v>13</x:v>
      </x:c>
    </x:row>
    <x:row r="14" ht="24" customHeight="1">
      <x:c r="A14" s="9" t="str">
        <x:v>AIMSeDNA21-02</x:v>
      </x:c>
      <x:c r="B14" s="9" t="str">
        <x:v>3x12 (13); 3x12 [11-12] (1)</x:v>
      </x:c>
      <x:c r="C14" s="12" t="n">
        <x:v>44330</x:v>
      </x:c>
      <x:c r="D14" s="12" t="n">
        <x:v>44340</x:v>
      </x:c>
      <x:c r="E14" s="13" t="n">
        <x:v>41</x:v>
      </x:c>
      <x:c r="F14" s="13" t="n">
        <x:v>21</x:v>
      </x:c>
    </x:row>
    <x:row r="15" ht="24" customHeight="1">
      <x:c r="A15" s="9" t="str">
        <x:v>AIMSeDNA22-01</x:v>
      </x:c>
      <x:c r="B15" s="9" t="str">
        <x:v>1x30 (2); 3x12 (3); 3x30 (1)</x:v>
      </x:c>
      <x:c r="C15" s="12" t="n">
        <x:v>44428</x:v>
      </x:c>
      <x:c r="D15" s="12" t="n">
        <x:v>44433</x:v>
      </x:c>
      <x:c r="E15" s="13" t="n">
        <x:v>23</x:v>
      </x:c>
      <x:c r="F15" s="13" t="n">
        <x:v>16</x:v>
      </x:c>
    </x:row>
    <x:row r="16" ht="24" customHeight="1">
      <x:c r="A16" s="9" t="str">
        <x:v>JCUeDNA22-01</x:v>
      </x:c>
      <x:c r="B16" s="9" t="str">
        <x:v>3x12 (3)</x:v>
      </x:c>
      <x:c r="C16" s="12" t="n">
        <x:v>44527</x:v>
      </x:c>
      <x:c r="D16" s="12" t="n">
        <x:v>44529</x:v>
      </x:c>
      <x:c r="E16" s="13" t="n">
        <x:v>0</x:v>
      </x:c>
      <x:c r="F16" s="13" t="n">
        <x:v>0</x:v>
      </x:c>
    </x:row>
    <x:row r="17" ht="24" customHeight="1">
      <x:c r="A17" s="9" t="str">
        <x:v>AIMSeDNA22-02</x:v>
      </x:c>
      <x:c r="B17" s="9" t="str">
        <x:v>3x12 (1); 4x12 (1); 4x12 [10-12] (1)</x:v>
      </x:c>
      <x:c r="C17" s="12" t="n">
        <x:v>44648</x:v>
      </x:c>
      <x:c r="D17" s="12" t="n">
        <x:v>44652</x:v>
      </x:c>
      <x:c r="E17" s="13" t="n">
        <x:v>0</x:v>
      </x:c>
      <x:c r="F17" s="13" t="n">
        <x:v>0</x:v>
      </x:c>
    </x:row>
    <x:row r="18" ht="24" customHeight="1">
      <x:c r="A18" s="9" t="str">
        <x:v>AIMSeDNA22-03</x:v>
      </x:c>
      <x:c r="B18" s="9" t="str">
        <x:v>3x12 (15)</x:v>
      </x:c>
      <x:c r="C18" s="12" t="n">
        <x:v>44695</x:v>
      </x:c>
      <x:c r="D18" s="12" t="n">
        <x:v>44703</x:v>
      </x:c>
      <x:c r="E18" s="13" t="n">
        <x:v>115</x:v>
      </x:c>
      <x:c r="F18" s="13" t="n">
        <x:v>74</x:v>
      </x:c>
    </x:row>
    <x:row r="19" ht="24" customHeight="1">
      <x:c r="A19" s="9" t="str">
        <x:v>AIMSeDNA23-01</x:v>
      </x:c>
      <x:c r="B19" s="9" t="str">
        <x:v>1x30 (2); 3x12 (2); 3x30 (1)</x:v>
      </x:c>
      <x:c r="C19" s="12" t="n">
        <x:v>44794</x:v>
      </x:c>
      <x:c r="D19" s="12" t="n">
        <x:v>44797</x:v>
      </x:c>
      <x:c r="E19" s="13" t="n">
        <x:v>41</x:v>
      </x:c>
      <x:c r="F19" s="13" t="n">
        <x:v>26</x:v>
      </x:c>
    </x:row>
    <x:row r="20" ht="24" customHeight="1">
      <x:c r="A20" s="9" t="str">
        <x:v>JCUeDNA23-01</x:v>
      </x:c>
      <x:c r="B20" s="9" t="str">
        <x:v>1x12 (1); 2x12 (1); 3x12 (6)</x:v>
      </x:c>
      <x:c r="C20" s="12" t="n">
        <x:v>44860</x:v>
      </x:c>
      <x:c r="D20" s="12" t="n">
        <x:v>44866</x:v>
      </x:c>
      <x:c r="E20" s="13" t="n">
        <x:v>0</x:v>
      </x:c>
      <x:c r="F20" s="13" t="n">
        <x:v>0</x:v>
      </x:c>
    </x:row>
    <x:row r="21" ht="24" customHeight="1">
      <x:c r="A21" s="9" t="str">
        <x:v>AIMSeDNA23-02</x:v>
      </x:c>
      <x:c r="B21" s="9" t="str">
        <x:v>3x12 (1)</x:v>
      </x:c>
      <x:c r="C21" s="12" t="n">
        <x:v>44922</x:v>
      </x:c>
      <x:c r="D21" s="12" t="n">
        <x:v>44922</x:v>
      </x:c>
      <x:c r="E21" s="13" t="n">
        <x:v>16</x:v>
      </x:c>
      <x:c r="F21" s="13" t="n">
        <x:v>16</x:v>
      </x:c>
    </x:row>
    <x:row r="22" ht="24" customHeight="1">
      <x:c r="A22" s="9" t="str">
        <x:v>FMPCR 2023-03</x:v>
      </x:c>
      <x:c r="B22" s="9" t="str">
        <x:v>1x12 (2); 2x12 (3); 4x12 (2)</x:v>
      </x:c>
      <x:c r="C22" s="12" t="n">
        <x:v>45010</x:v>
      </x:c>
      <x:c r="D22" s="12" t="n">
        <x:v>45017</x:v>
      </x:c>
      <x:c r="E22" s="13" t="n">
        <x:v>183</x:v>
      </x:c>
      <x:c r="F22" s="13" t="n">
        <x:v>27</x:v>
      </x:c>
    </x:row>
    <x:row r="23" ht="24" customHeight="1">
      <x:c r="A23" s="9" t="str">
        <x:v>AIMSeDNA23-03</x:v>
      </x:c>
      <x:c r="B23" s="9" t="str">
        <x:v>3x12 (21)</x:v>
      </x:c>
      <x:c r="C23" s="12" t="n">
        <x:v>45104</x:v>
      </x:c>
      <x:c r="D23" s="12" t="n">
        <x:v>45115</x:v>
      </x:c>
      <x:c r="E23" s="13" t="n">
        <x:v>46</x:v>
      </x:c>
      <x:c r="F23" s="13" t="n">
        <x:v>18</x:v>
      </x:c>
    </x:row>
    <x:row r="24" ht="24" customHeight="1">
      <x:c r="A24" s="9" t="str">
        <x:v>AIMSeDNA24-01</x:v>
      </x:c>
      <x:c r="B24" s="9" t="str">
        <x:v>1x30 (2); 3x12 (2); 3x30 (1)</x:v>
      </x:c>
      <x:c r="C24" s="12" t="n">
        <x:v>45184</x:v>
      </x:c>
      <x:c r="D24" s="12" t="n">
        <x:v>45187</x:v>
      </x:c>
      <x:c r="E24" s="13" t="n">
        <x:v>58</x:v>
      </x:c>
      <x:c r="F24" s="13" t="n">
        <x:v>31</x:v>
      </x:c>
    </x:row>
    <x:row r="25" ht="24" customHeight="1">
      <x:c r="A25" s="9" t="str">
        <x:v>FMPCRS 2023-05</x:v>
      </x:c>
      <x:c r="B25" s="9" t="str">
        <x:v>3x12 (7); 3x12 [11-12] (1)</x:v>
      </x:c>
      <x:c r="C25" s="12" t="n">
        <x:v>45233</x:v>
      </x:c>
      <x:c r="D25" s="12" t="n">
        <x:v>45238</x:v>
      </x:c>
      <x:c r="E25" s="13" t="n">
        <x:v>0</x:v>
      </x:c>
      <x:c r="F25" s="13" t="n">
        <x:v>0</x:v>
      </x:c>
    </x:row>
    <x:row r="26" ht="24" customHeight="1">
      <x:c r="A26" s="9" t="str">
        <x:v>AIMSeDNA24-02</x:v>
      </x:c>
      <x:c r="B26" s="9" t="str">
        <x:v>3x12 (5)</x:v>
      </x:c>
      <x:c r="C26" s="12" t="n">
        <x:v>45283</x:v>
      </x:c>
      <x:c r="D26" s="12" t="n">
        <x:v>45295</x:v>
      </x:c>
      <x:c r="E26" s="13" t="n">
        <x:v>38</x:v>
      </x:c>
      <x:c r="F26" s="13" t="n">
        <x:v>14</x:v>
      </x:c>
    </x:row>
    <x:row r="27" ht="24" customHeight="1">
      <x:c r="A27" s="9" t="str">
        <x:v>AIMSeDNA25-01</x:v>
      </x:c>
      <x:c r="B27" s="9" t="str">
        <x:v>3x12 (1)</x:v>
      </x:c>
      <x:c r="C27" s="12" t="n">
        <x:v>45523</x:v>
      </x:c>
      <x:c r="D27" s="12" t="n">
        <x:v>45523</x:v>
      </x:c>
      <x:c r="E27" s="13" t="n">
        <x:v>33</x:v>
      </x:c>
      <x:c r="F27" s="13" t="n">
        <x:v>17</x:v>
      </x:c>
    </x:row>
    <x:row r="28" ht="24" customHeight="1">
      <x:c r="A28" s="9" t="str">
        <x:v>AIMSeDNA25-02</x:v>
      </x:c>
      <x:c r="B28" s="9" t="str">
        <x:v>1x20 (2); 3x20 (1)</x:v>
      </x:c>
      <x:c r="C28" s="12" t="n">
        <x:v>45549</x:v>
      </x:c>
      <x:c r="D28" s="12" t="n">
        <x:v>45551</x:v>
      </x:c>
      <x:c r="E28" s="13" t="n">
        <x:v>20</x:v>
      </x:c>
      <x:c r="F28" s="13" t="n">
        <x:v>10</x:v>
      </x:c>
    </x:row>
    <x:row r="29" ht="24" customHeight="1">
      <x:c r="A29" s="9" t="str">
        <x:v>AIMSeDNA25-03</x:v>
      </x:c>
      <x:c r="B29" s="9" t="str">
        <x:v>3x12 (1); 4x6 (3)</x:v>
      </x:c>
      <x:c r="C29" s="12" t="n">
        <x:v>45636</x:v>
      </x:c>
      <x:c r="D29" s="12" t="n">
        <x:v>45647</x:v>
      </x:c>
      <x:c r="E29" s="13" t="n">
        <x:v>17</x:v>
      </x:c>
      <x:c r="F29" s="13" t="n">
        <x:v>5</x:v>
      </x:c>
    </x:row>
    <x:row r="30" ht="24" customHeight="1">
      <x:c r="A30" s="9" t="str">
        <x:v>FMPCRS 2025-01</x:v>
      </x:c>
      <x:c r="B30" s="9" t="str">
        <x:v>4x6 (9)</x:v>
      </x:c>
      <x:c r="C30" s="12" t="n">
        <x:v>45665</x:v>
      </x:c>
      <x:c r="D30" s="12" t="n">
        <x:v>45671</x:v>
      </x:c>
      <x:c r="E30" s="13" t="n">
        <x:v>0</x:v>
      </x:c>
      <x:c r="F30" s="13" t="n">
        <x:v>0</x:v>
      </x:c>
    </x:row>
    <x:row r="31" ht="24" customHeight="1">
      <x:c r="A31" s="9" t="str">
        <x:v>FMPCRS 2025-02</x:v>
      </x:c>
      <x:c r="B31" s="9" t="str">
        <x:v>4x6 (9)</x:v>
      </x:c>
      <x:c r="C31" s="12" t="n">
        <x:v>45695</x:v>
      </x:c>
      <x:c r="D31" s="12" t="n">
        <x:v>45700</x:v>
      </x:c>
      <x:c r="E31" s="13" t="n">
        <x:v>8</x:v>
      </x:c>
      <x:c r="F31" s="13" t="n">
        <x:v>7</x:v>
      </x:c>
    </x:row>
    <x:row r="32" ht="24" customHeight="1">
      <x:c r="A32" s="9" t="str">
        <x:v>136</x:v>
      </x:c>
      <x:c r="B32" s="9" t="str">
        <x:v>4x6 (2)</x:v>
      </x:c>
      <x:c r="C32" s="12" t="n">
        <x:v>45749</x:v>
      </x:c>
      <x:c r="D32" s="12" t="n">
        <x:v>45753</x:v>
      </x:c>
      <x:c r="E32" s="13" t="n">
        <x:v>28</x:v>
      </x:c>
      <x:c r="F32" s="13" t="n">
        <x:v>10</x:v>
      </x:c>
    </x:row>
    <x:row r="33" ht="24" customHeight="1">
      <x:c r="A33" s="9" t="str">
        <x:v>41</x:v>
      </x:c>
      <x:c r="B33" s="9" t="str">
        <x:v>4x6 (2)</x:v>
      </x:c>
      <x:c r="C33" s="12" t="n">
        <x:v>45757</x:v>
      </x:c>
      <x:c r="D33" s="12" t="n">
        <x:v>45759</x:v>
      </x:c>
      <x:c r="E33" s="13" t="n">
        <x:v>22</x:v>
      </x:c>
      <x:c r="F33" s="13" t="n">
        <x:v>21</x:v>
      </x:c>
    </x:row>
    <x:row r="34" ht="24" customHeight="1">
      <x:c r="A34" s="9" t="str">
        <x:v>AIMSeDNA25-04</x:v>
      </x:c>
      <x:c r="B34" s="9" t="str">
        <x:v>3x12 (12); 4x12 [6-12] (3)</x:v>
      </x:c>
      <x:c r="C34" s="12" t="n">
        <x:v>45806</x:v>
      </x:c>
      <x:c r="D34" s="12" t="n">
        <x:v>45812</x:v>
      </x:c>
      <x:c r="E34" s="13" t="n">
        <x:v>17</x:v>
      </x:c>
      <x:c r="F34" s="13" t="n">
        <x:v>9</x:v>
      </x:c>
    </x:row>
    <x:row r="35" ht="24" customHeight="1">
      <x:c r="A35" s="9" t="str">
        <x:v>142</x:v>
      </x:c>
      <x:c r="B35" s="9" t="str">
        <x:v>4x6 (2)</x:v>
      </x:c>
      <x:c r="C35" s="12" t="n">
        <x:v>45873</x:v>
      </x:c>
      <x:c r="D35" s="12" t="n">
        <x:v>45874</x:v>
      </x:c>
      <x:c r="E35" s="13" t="n">
        <x:v>38</x:v>
      </x:c>
      <x:c r="F35" s="13" t="n">
        <x:v>14</x:v>
      </x:c>
    </x:row>
    <x:row r="36" ht="24" customHeight="1">
      <x:c r="A36" s="9" t="str">
        <x:v>AIMSeDNA26-01</x:v>
      </x:c>
      <x:c r="B36" s="9" t="str">
        <x:v>3x12 (3); 4x12 [6-12] (3)</x:v>
      </x:c>
      <x:c r="C36" s="12" t="n">
        <x:v>45870</x:v>
      </x:c>
      <x:c r="D36" s="12" t="n">
        <x:v>45872</x:v>
      </x:c>
      <x:c r="E36" s="13" t="n">
        <x:v>76</x:v>
      </x:c>
      <x:c r="F36" s="13" t="n">
        <x:v>31</x:v>
      </x:c>
    </x:row>
    <x:row r="37" ht="24" customHeight="1">
      <x:c r="A37" s="9" t="str">
        <x:v>45</x:v>
      </x:c>
      <x:c r="B37" s="9" t="str">
        <x:v>4x6 (3)</x:v>
      </x:c>
      <x:c r="C37" s="12" t="n">
        <x:v>45888</x:v>
      </x:c>
      <x:c r="D37" s="12" t="n">
        <x:v>45892</x:v>
      </x:c>
      <x:c r="E37" s="13" t="n">
        <x:v>25</x:v>
      </x:c>
      <x:c r="F37" s="13" t="n">
        <x:v>25</x:v>
      </x:c>
    </x:row>
    <x:row r="38" ht="24" customHeight="1">
      <x:c r="A38" s="9" t="str">
        <x:v>AIMSeDNA26-02</x:v>
      </x:c>
      <x:c r="B38" s="9" t="str">
        <x:v>1x20 (2); 3x20 (1); 4x12 [6-12] (2)</x:v>
      </x:c>
      <x:c r="C38" s="12" t="n">
        <x:v>45923</x:v>
      </x:c>
      <x:c r="D38" s="12" t="n">
        <x:v>45926</x:v>
      </x:c>
      <x:c r="E38" s="13" t="n">
        <x:v>32</x:v>
      </x:c>
      <x:c r="F38" s="13" t="n">
        <x:v>18</x:v>
      </x:c>
    </x:row>
    <x:row r="39" ht="24" customHeight="1">
      <x:c r="A39" s="9" t="str">
        <x:v>FMPCRS 2025-05</x:v>
      </x:c>
      <x:c r="B39" s="9" t="str">
        <x:v>4x6 (10)</x:v>
      </x:c>
      <x:c r="C39" s="12" t="n">
        <x:v>45960</x:v>
      </x:c>
      <x:c r="D39" s="12" t="n">
        <x:v>45967</x:v>
      </x:c>
      <x:c r="E39" s="13" t="n">
        <x:v>8</x:v>
      </x:c>
      <x:c r="F39" s="13" t="n">
        <x:v>8</x:v>
      </x:c>
    </x:row>
    <x:row r="40" ht="24" customHeight="1">
      <x:c r="A40" s="9" t="str">
        <x:v>AIMSeDNA26-03</x:v>
      </x:c>
      <x:c r="B40" s="9" t="str">
        <x:v>3x12 (1)</x:v>
      </x:c>
      <x:c r="C40" s="12" t="n">
        <x:v>46020</x:v>
      </x:c>
      <x:c r="D40" s="12" t="n">
        <x:v>46020</x:v>
      </x:c>
      <x:c r="E40" s="13" t="n">
        <x:v>0</x:v>
      </x:c>
      <x:c r="F40" s="13" t="n">
        <x:v>0</x:v>
      </x:c>
    </x:row>
    <x:row r="41" ht="24" customHeight="1">
      <x:c r="A41" s="9" t="str">
        <x:v>FMPCRS 2026-01</x:v>
      </x:c>
      <x:c r="B41" s="9" t="str">
        <x:v>4x6 (10)</x:v>
      </x:c>
      <x:c r="C41" s="12" t="n">
        <x:v>46030</x:v>
      </x:c>
      <x:c r="D41" s="12" t="n">
        <x:v>46035</x:v>
      </x:c>
      <x:c r="E41" s="13" t="n">
        <x:v>0</x:v>
      </x:c>
      <x:c r="F41" s="13" t="n">
        <x:v>0</x:v>
      </x:c>
    </x:row>
    <x:row r="42" ht="24" customHeight="1">
      <x:c r="A42" s="9" t="str">
        <x:v>FMPCRS 2026-02</x:v>
      </x:c>
      <x:c r="B42" s="9" t="str">
        <x:v>4x6 (8); 4x6 [5-6] (2)</x:v>
      </x:c>
      <x:c r="C42" s="12" t="n">
        <x:v>46046</x:v>
      </x:c>
      <x:c r="D42" s="12" t="n">
        <x:v>46054</x:v>
      </x:c>
      <x:c r="E42" s="13" t="n">
        <x:v>22</x:v>
      </x:c>
      <x:c r="F42" s="13" t="n">
        <x:v>20</x:v>
      </x:c>
    </x:row>
    <x:row r="43" ht="24" customHeight="1">
      <x:c r="A43" s="9" t="str">
        <x:v>FMPCRS 2026-03</x:v>
      </x:c>
      <x:c r="B43" s="9" t="str">
        <x:v>4x6 (9); 4x6 [5-6] (1)</x:v>
      </x:c>
      <x:c r="C43" s="12" t="n">
        <x:v>46088</x:v>
      </x:c>
      <x:c r="D43" s="12" t="n">
        <x:v>46093</x:v>
      </x:c>
      <x:c r="E43" s="13" t="n">
        <x:v>0</x:v>
      </x:c>
      <x:c r="F43" s="13" t="n">
        <x:v>0</x:v>
      </x:c>
    </x:row>
    <x:row r="44" ht="24" customHeight="1">
      <x:c r="A44" s="9" t="str">
        <x:v>FMPRHIS 2026-07</x:v>
      </x:c>
      <x:c r="B44" s="9" t="str">
        <x:v>4x6 (9); 4x6 [5-6] (1)</x:v>
      </x:c>
      <x:c r="C44" s="12" t="n">
        <x:v>46115</x:v>
      </x:c>
      <x:c r="D44" s="12" t="n">
        <x:v>46120</x:v>
      </x:c>
      <x:c r="E44" s="13" t="n">
        <x:v>23</x:v>
      </x:c>
      <x:c r="F44" s="13" t="n">
        <x:v>21</x:v>
      </x:c>
    </x:row>
    <x:row r="46">
      <x:c r="A46" s="22" t="str">
        <x:v>Sources</x:v>
      </x:c>
    </x:row>
    <x:row r="47">
      <x:c r="A47" s="18" t="str">
        <x:v>eDNA data and voyage metadata: data/eDNA data_ALL_20260528.xlsx</x:v>
      </x:c>
      <x:c r="B47" s="18"/>
      <x:c r="C47" s="18"/>
      <x:c r="D47" s="18"/>
      <x:c r="E47" s="18"/>
      <x:c r="F47" s="18"/>
    </x:row>
    <x:row r="48">
      <x:c r="A48" s="18" t="str">
        <x:v>Cull records: data/260529-COTS-Manta-Cull-RHIS-Lawrence-CSIRO.xlsx, Cull sheet</x:v>
      </x:c>
      <x:c r="B48" s="18"/>
      <x:c r="C48" s="18"/>
      <x:c r="D48" s="18"/>
      <x:c r="E48" s="18"/>
      <x:c r="F48" s="18"/>
    </x:row>
  </x:sheetData>
  <x:pageMargins left="0.7" right="0.7" top="0.75" bottom="0.75" header="0.3" footer="0.3"/>
  <x:tableParts count="1">
    <x:tablePart xmlns:r="http://schemas.openxmlformats.org/officeDocument/2006/relationships" r:id="Rd96c1752b5fd4fa8"/>
  </x:tableParts>
</x:worksheet>
</file>